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88df4a3b0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 Set" sheetId="1" r:id="Ra1b0b3cf44124a26"/>
    <x:sheet xmlns:r="http://schemas.openxmlformats.org/officeDocument/2006/relationships" name="Summary" sheetId="2" r:id="Rfe6a28d9fb594277"/>
  </x:sheets>
</x:workbook>
</file>

<file path=xl/sharedStrings.xml><?xml version="1.0" encoding="utf-8"?>
<x:sst xmlns:x="http://schemas.openxmlformats.org/spreadsheetml/2006/main">
  <x:si>
    <x:t xml:space="preserve">Direct Concept</x:t>
  </x:si>
  <x:si>
    <x:t xml:space="preserve">All</x:t>
  </x:si>
  <x:si>
    <x:t xml:space="preserve">What is the column space of a matrix?</x:t>
  </x:si>
  <x:si>
    <x:t xml:space="preserve">search_lecture (no lecture_number)</x:t>
  </x:si>
  <x:si>
    <x:t xml:space="preserve">What does it mean for a matrix to be invertible?</x:t>
  </x:si>
  <x:si>
    <x:t xml:space="preserve">What is an eigenvector?</x:t>
  </x:si>
  <x:si>
    <x:t xml:space="preserve">What is the difference between the null space and the column space?</x:t>
  </x:si>
  <x:si>
    <x:t xml:space="preserve">What is a positive definite matrix?</x:t>
  </x:si>
  <x:si>
    <x:t xml:space="preserve">What does it mean for two vectors to be orthogonal?</x:t>
  </x:si>
  <x:si>
    <x:t xml:space="preserve">Lecture-Specific</x:t>
  </x:si>
  <x:si>
    <x:t xml:space="preserve">L4</x:t>
  </x:si>
  <x:si>
    <x:t xml:space="preserve">In Lecture 4, why does A = LU matter?</x:t>
  </x:si>
  <x:si>
    <x:t xml:space="preserve">search_lecture(lecture_number=4)</x:t>
  </x:si>
  <x:si>
    <x:t xml:space="preserve">Answer is scoped to Lecture 4 only; explains LU factorization's role (elimination as matrix multiplication, solving systems efficiently); no cross-lecture evidence cited.</x:t>
  </x:si>
  <x:si>
    <x:t xml:space="preserve">L12</x:t>
  </x:si>
  <x:si>
    <x:t xml:space="preserve">In Lecture 12, how are incidence matrices used to describe graphs?</x:t>
  </x:si>
  <x:si>
    <x:t xml:space="preserve">search_lecture(lecture_number=12)</x:t>
  </x:si>
  <x:si>
    <x:t xml:space="preserve">Answer scoped to Lecture 12; correctly connects incidence matrix rows/columns to edges/nodes; sources cite Lecture 12 only.</x:t>
  </x:si>
  <x:si>
    <x:t xml:space="preserve">L17</x:t>
  </x:si>
  <x:si>
    <x:t xml:space="preserve">In Lecture 17, what does Gram-Schmidt actually compute?</x:t>
  </x:si>
  <x:si>
    <x:t xml:space="preserve">search_lecture(lecture_number=17)</x:t>
  </x:si>
  <x:si>
    <x:t xml:space="preserve">Answer scoped to Lecture 17; explains orthogonalization of a basis into orthonormal vectors; sources cite Lecture 17 only.</x:t>
  </x:si>
  <x:si>
    <x:t xml:space="preserve">L21</x:t>
  </x:si>
  <x:si>
    <x:t xml:space="preserve">In Lecture 21, how do you find the eigenvalues of a matrix?</x:t>
  </x:si>
  <x:si>
    <x:t xml:space="preserve">search_lecture(lecture_number=21)</x:t>
  </x:si>
  <x:si>
    <x:t xml:space="preserve">Answer scoped to Lecture 21; references det(A − λI) = 0; sources cite Lecture 21 only.</x:t>
  </x:si>
  <x:si>
    <x:t xml:space="preserve">L29</x:t>
  </x:si>
  <x:si>
    <x:t xml:space="preserve">In Lecture 29, what is the singular value decomposition used for?</x:t>
  </x:si>
  <x:si>
    <x:t xml:space="preserve">search_lecture(lecture_number=29)</x:t>
  </x:si>
  <x:si>
    <x:t xml:space="preserve">Answer scoped to Lecture 29; explains SVD (A = UΣVᵀ) and its purpose; sources cite Lecture 29 only.</x:t>
  </x:si>
  <x:si>
    <x:t xml:space="preserve">L33</x:t>
  </x:si>
  <x:si>
    <x:t xml:space="preserve">In Lecture 33, what's the difference between a left inverse and a right inverse?</x:t>
  </x:si>
  <x:si>
    <x:t xml:space="preserve">search_lecture(lecture_number=33)</x:t>
  </x:si>
  <x:si>
    <x:t xml:space="preserve">Answer scoped to Lecture 33; correctly distinguishes left/right/pseudoinverse; sources cite Lecture 33 only.</x:t>
  </x:si>
  <x:si>
    <x:t xml:space="preserve">Comparison</x:t>
  </x:si>
  <x:si>
    <x:t xml:space="preserve">L6 vs L10</x:t>
  </x:si>
  <x:si>
    <x:t xml:space="preserve">How do the four fundamental subspaces from Lecture 10 relate to the column space and nullspace introduced in Lecture 6?</x:t>
  </x:si>
  <x:si>
    <x:t xml:space="preserve">L15 vs L16</x:t>
  </x:si>
  <x:si>
    <x:t xml:space="preserve">What's the difference between a projection (Lecture 15) and least squares (Lecture 16)?</x:t>
  </x:si>
  <x:si>
    <x:t xml:space="preserve">L21 vs L29</x:t>
  </x:si>
  <x:si>
    <x:t xml:space="preserve">When would you use eigenvalue decomposition versus singular value decomposition?</x:t>
  </x:si>
  <x:si>
    <x:t xml:space="preserve">L25 vs L27</x:t>
  </x:si>
  <x:si>
    <x:t xml:space="preserve">How does symmetric positive definiteness from Lecture 25 relate to the positive definite matrices and minima discussed in Lecture 27?</x:t>
  </x:si>
  <x:si>
    <x:t xml:space="preserve">L19 vs L20</x:t>
  </x:si>
  <x:si>
    <x:t xml:space="preserve">What's the difference between the cofactor formula for determinants (Lecture 19) and Cramer's rule (Lecture 20)?</x:t>
  </x:si>
  <x:si>
    <x:t xml:space="preserve">Memory / Follow-up</x:t>
  </x:si>
  <x:si>
    <x:t xml:space="preserve">L1</x:t>
  </x:si>
  <x:si>
    <x:t xml:space="preserve">Turn 1: 'What is the column picture of Ax=b?'
&gt;&gt; Turn 2: 'How is that different from the row picture?'
&gt;&gt; Turn 3: 'Which lecture covers the one you just described first?'</x:t>
  </x:si>
  <x:si>
    <x:t xml:space="preserve">search_lecture across turns; conversation memory (no tool needed for turn 3 resolution)</x:t>
  </x:si>
  <x:si>
    <x:t xml:space="preserve">Turn 2 correctly resolves 'that' to the column picture without the user re-stating it; turn 3 correctly identifies Lecture 1 as covering the row/column picture without a new search if already in context.</x:t>
  </x:si>
  <x:si>
    <x:t xml:space="preserve">Turn 1: 'What are eigenvalues?'
&gt;&gt; Turn 2: 'How do you compute them for a 2x2 matrix?'</x:t>
  </x:si>
  <x:si>
    <x:t xml:space="preserve">search_lecture across turns</x:t>
  </x:si>
  <x:si>
    <x:t xml:space="preserve">Turn 2 correctly resolves 'them' to eigenvalues from turn 1 without the user restating 'eigenvalues'; answer is grounded in Lecture 21 evidence.</x:t>
  </x:si>
  <x:si>
    <x:t xml:space="preserve">L10</x:t>
  </x:si>
  <x:si>
    <x:t xml:space="preserve">Turn 1: 'Explain the four fundamental subspaces.'
&gt;&gt; Turn 2: 'Which two of those are orthogonal complements?'</x:t>
  </x:si>
  <x:si>
    <x:t xml:space="preserve">Turn 2 correctly resolves 'those' to the four subspaces from turn 1 and correctly identifies the orthogonal complement pairs (row space/nullspace, column space/left nullspace).</x:t>
  </x:si>
  <x:si>
    <x:t xml:space="preserve">L24</x:t>
  </x:si>
  <x:si>
    <x:t xml:space="preserve">Turn 1: 'What is a Markov matrix?'
&gt;&gt; Turn 2: 'Does that relate to the Fourier series also covered in that lecture?'</x:t>
  </x:si>
  <x:si>
    <x:t xml:space="preserve">search_lecture(lecture_number=24) across turns</x:t>
  </x:si>
  <x:si>
    <x:t xml:space="preserve">Turn 2 correctly keeps the lecture scope at 24, resolves 'that lecture' to Lecture 24, and gives an honest answer about whether/how the two topics relate (not a fabricated connection if the evidence doesn't support one).</x:t>
  </x:si>
  <x:si>
    <x:t xml:space="preserve">L18–20</x:t>
  </x:si>
  <x:si>
    <x:t xml:space="preserve">Turn 1: 'Quiz me on determinants.'
&gt;&gt; Turn 2 (student answers with an intentionally wrong letter)
&gt;&gt; Turn 3: 'What did I get wrong, if anything?'</x:t>
  </x:si>
  <x:si>
    <x:t xml:space="preserve">create_quiz &gt;&gt; grade_quiz_answer &gt;&gt; get_weak_topics or conversational recall</x:t>
  </x:si>
  <x:si>
    <x:t xml:space="preserve">Turn 3 correctly recalls the specific topic missed in turn 2 without re-querying the student; matches what get_weak_topics would also report.</x:t>
  </x:si>
  <x:si>
    <x:t xml:space="preserve">Out-of-Scope</x:t>
  </x:si>
  <x:si>
    <x:t xml:space="preserve">N/A</x:t>
  </x:si>
  <x:si>
    <x:t xml:space="preserve">What's a good recipe for chocolate chip cookies?</x:t>
  </x:si>
  <x:si>
    <x:t xml:space="preserve">search_lecture / scope guard</x:t>
  </x:si>
  <x:si>
    <x:t xml:space="preserve">Agent declines or clearly states this is outside MIT 18.06 course content; does not fabricate a lecture citation.</x:t>
  </x:si>
  <x:si>
    <x:t xml:space="preserve">Can you explain how neural networks use backpropagation?</x:t>
  </x:si>
  <x:si>
    <x:t xml:space="preserve">search_lecture / check_topic_supported_by_lecture (scope guard)</x:t>
  </x:si>
  <x:si>
    <x:t xml:space="preserve">Even though this is plausibly ML-adjacent, agent correctly identifies it is NOT covered in the 18.06 lecture evidence and declines rather than inventing a connection; this is the key 'plausible trap' case.</x:t>
  </x:si>
  <x:si>
    <x:t xml:space="preserve">What did Professor Strang say about the 2008 financial crisis?</x:t>
  </x:si>
  <x:si>
    <x:t xml:space="preserve">Agent correctly reports no such evidence exists in the retrieved lectures rather than guessing or hallucinating a quote.</x:t>
  </x:si>
  <x:si>
    <x:t xml:space="preserve">L40 (invalid)</x:t>
  </x:si>
  <x:si>
    <x:t xml:space="preserve">Can you summarize Lecture 40?</x:t>
  </x:si>
  <x:si>
    <x:t xml:space="preserve">search_lecture(lecture_number=40) or validation before search</x:t>
  </x:si>
  <x:si>
    <x:t xml:space="preserve">Agent correctly recognizes the course only has 34 lectures and reports Lecture 40 doesn't exist, instead of silently returning unrelated content.</x:t>
  </x:si>
  <x:si>
    <x:t xml:space="preserve">Quiz Gen/Grading</x:t>
  </x:si>
  <x:si>
    <x:t xml:space="preserve">Turn 1: 'Quiz me on elimination.'
&gt;&gt; Turn 2: answer with the correct letter</x:t>
  </x:si>
  <x:si>
    <x:t xml:space="preserve">create_quiz &gt;&gt; grade_quiz_answer</x:t>
  </x:si>
  <x:si>
    <x:t xml:space="preserve">create_quiz returns exactly 4 options with one correct answer grounded in evidence; grade_quiz_answer correctly marks it right and gives the stated explanation; weak_topics is NOT updated.</x:t>
  </x:si>
  <x:si>
    <x:t xml:space="preserve">Turn 1: 'Quiz me on eigenvalues.'
&gt;&gt; Turn 2: answer with an incorrect letter</x:t>
  </x:si>
  <x:si>
    <x:t xml:space="preserve">create_quiz(lecture_number=21) &gt;&gt; grade_quiz_answer</x:t>
  </x:si>
  <x:si>
    <x:t xml:space="preserve">grade_quiz_answer correctly marks it wrong, states the correct answer, and adds the topic + lecture/source metadata to weak_topics.</x:t>
  </x:si>
  <x:si>
    <x:t xml:space="preserve">'Give me a quiz question specifically from Lecture 29 on singular value decomposition.'</x:t>
  </x:si>
  <x:si>
    <x:t xml:space="preserve">create_quiz(topic='singular value decomposition', lecture_number=29)</x:t>
  </x:si>
  <x:si>
    <x:t xml:space="preserve">Generated quiz question is grounded only in Lecture 29 evidence; 4 options, 1 correct answer, plausible distractors.</x:t>
  </x:si>
  <x:si>
    <x:t xml:space="preserve">Turn 1: 'Quiz me on determinants.'
&gt;&gt; Turn 2: answer with an invalid response, e.g. 'I think it's the second one'</x:t>
  </x:si>
  <x:si>
    <x:t xml:space="preserve">grade_quiz_answer does not guess or silently accept the malformed answer; it asks the student to respond with A, B, C, or D.</x:t>
  </x:si>
  <x:si>
    <x:t xml:space="preserve">Weak-Topic Tracking</x:t>
  </x:si>
  <x:si>
    <x:t xml:space="preserve">Fresh session — before any quiz is taken: 'What are my weak topics?'</x:t>
  </x:si>
  <x:si>
    <x:t xml:space="preserve">get_weak_topics</x:t>
  </x:si>
  <x:si>
    <x:t xml:space="preserve">Returns a clear 'no weak topics recorded yet' response rather than an error or a fabricated list.</x:t>
  </x:si>
  <x:si>
    <x:t xml:space="preserve">L18</x:t>
  </x:si>
  <x:si>
    <x:t xml:space="preserve">After missing a quiz question on determinants (Lecture 18): 'What are my weak topics?'</x:t>
  </x:si>
  <x:si>
    <x:t xml:space="preserve">Returns the determinants topic with correct lecture number/source metadata attached, matching the miss from the prior quiz turn.</x:t>
  </x:si>
  <x:si>
    <x:t xml:space="preserve">L21 &amp; L29</x:t>
  </x:si>
  <x:si>
    <x:t xml:space="preserve">After missing one quiz question on eigenvalues (Lecture 21) and one on SVD (Lecture 29) in the same session: 'What are my weak topics?'</x:t>
  </x:si>
  <x:si>
    <x:t xml:space="preserve">Both distinct topics are listed with correct lecture attribution; no duplicate entries; topics are deduplicated by topic+lecture as designed.</x:t>
  </x:si>
  <x:si>
    <x:t xml:space="preserve">Course Builder</x:t>
  </x:si>
  <x:si>
    <x:t xml:space="preserve">'Build me a study module on positive definite matrices.'</x:t>
  </x:si>
  <x:si>
    <x:t xml:space="preserve">build_study_module (topic='positive definite matrices')</x:t>
  </x:si>
  <x:si>
    <x:t xml:space="preserve">check_topic_supported_by_lecture passes; produced module includes learning objectives, key points, and source list with lecture/timestamp/video links; renders without error.</x:t>
  </x:si>
  <x:si>
    <x:t xml:space="preserve">L31</x:t>
  </x:si>
  <x:si>
    <x:t xml:space="preserve">'Build a study module for Lecture 31 on image compression.'</x:t>
  </x:si>
  <x:si>
    <x:t xml:space="preserve">build_study_module(topic='image compression', lecture_number=31)</x:t>
  </x:si>
  <x:si>
    <x:t xml:space="preserve">Module content and sources are scoped to Lecture 31 only; no cross-lecture evidence leaks into the sources list.</x:t>
  </x:si>
  <x:si>
    <x:t xml:space="preserve">Auto (from weak topic)</x:t>
  </x:si>
  <x:si>
    <x:t xml:space="preserve">After missing a quiz question earlier in the session, request a study module with no topic specified: 'Build me a study module.'</x:t>
  </x:si>
  <x:si>
    <x:t xml:space="preserve">build_study_module (topic auto-filled from first recorded weak_topic)</x:t>
  </x:si>
  <x:si>
    <x:t xml:space="preserve">Course builder correctly falls back to the first weak topic recorded in the session (per the web_build_course logic) rather than erroring or defaulting to an unrelated topic.</x:t>
  </x:si>
  <x:si>
    <x:t xml:space="preserve">Source/Timestamp Check</x:t>
  </x:si>
  <x:si>
    <x:t xml:space="preserve">'What is the LU factorization?' — inspect the returned sources.</x:t>
  </x:si>
  <x:si>
    <x:t xml:space="preserve">search_lecture</x:t>
  </x:si>
  <x:si>
    <x:t xml:space="preserve">Every cited source includes lecture number, lecture title, a correctly formatted MM:SS–MM:SS timestamp range, and a working timestamped video link; timestamps fall within that lecture's actual duration.</x:t>
  </x:si>
  <x:si>
    <x:t xml:space="preserve">L14</x:t>
  </x:si>
  <x:si>
    <x:t xml:space="preserve">'In Lecture 14, what are orthogonal subspaces?' — inspect the returned sources.</x:t>
  </x:si>
  <x:si>
    <x:t xml:space="preserve">search_lecture(lecture_number=14)</x:t>
  </x:si>
  <x:si>
    <x:t xml:space="preserve">All cited sources are from Lecture 14 only (no cross-lecture leakage); timestamp and video link format match the standard used elsewhere in the app.</x:t>
  </x:si>
  <x:si>
    <x:t xml:space="preserve">Pass rate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</x:si>
</x:sst>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General"/>
    <x:numFmt numFmtId="166" formatCode="0.0%"/>
  </x:numFmts>
  <x:fonts count="1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B2A4A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B2A4A"/>
      <x:name val="Arial"/>
    </x:font>
    <x:font>
      <x:b/>
      <x:sz val="11"/>
      <x:color rgb="FFFFFFFF"/>
      <x:name val="Calibri"/>
    </x:font>
    <x:font>
      <x:b/>
      <x:sz val="16"/>
      <x:color rgb="FFFFFFFF"/>
      <x:name val="Arial"/>
    </x:font>
    <x:font>
      <x:b/>
      <x:sz val="16"/>
      <x:color rgb="FFFFFFFF"/>
      <x:name val="Calibri"/>
    </x:font>
    <x:font>
      <x:i/>
      <x:sz val="10"/>
      <x:color rgb="FF1F1F1F"/>
      <x:name val="Arial"/>
    </x:font>
    <x:font>
      <x:i/>
      <x:sz val="11"/>
      <x:color rgb="FF1F1F1F"/>
      <x:name val="Calibri"/>
    </x:font>
    <x:font>
      <x:b/>
      <x:sz val="11"/>
      <x:color theme="1"/>
      <x:name val="Calibri"/>
    </x:font>
    <x:font>
      <x:b/>
      <x:sz val="15"/>
      <x:color rgb="FFFFFFFF"/>
      <x:name val="Arial"/>
    </x:font>
    <x:font>
      <x:b/>
      <x:sz val="15"/>
      <x:color rgb="FFFFFFFF"/>
      <x:name val="Calibri"/>
    </x:font>
    <x:font>
      <x:i/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B2A4A"/>
      </x:patternFill>
    </x:fill>
    <x:fill>
      <x:patternFill patternType="solid">
        <x:fgColor rgb="FFF4F7FA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 diagonalUp="0" diagonalDown="0"/>
    <x:border diagonalUp="0" diagonalDown="0"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 diagonalUp="0" diagonalDown="0"/>
    <x:border diagonalUp="0" diagonalDown="0"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4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5" fillId="0" borderId="0" xfId="0" applyFont="1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center" vertical="center" wrapText="1"/>
    </x:xf>
    <x:xf numFmtId="164" fontId="8" fillId="3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5" fontId="0" fillId="0" borderId="1" xfId="0" applyFont="0" applyBorder="1" applyAlignment="1">
      <x:alignment horizontal="center" vertical="center" wrapText="1"/>
    </x:xf>
    <x:xf numFmtId="165" fontId="8" fillId="3" borderId="1" xfId="0" applyFont="1" applyBorder="1" applyAlignment="1">
      <x:alignment horizontal="center" vertical="center" wrapText="1"/>
    </x:xf>
    <x:xf numFmtId="164" fontId="8" fillId="0" borderId="0" xfId="0" applyFont="1" applyBorder="0" applyAlignment="0">
      <x:alignment horizontal="general" vertical="bottom" wrapText="0"/>
    </x:xf>
    <x:xf numFmtId="166" fontId="7" fillId="0" borderId="0" xfId="0" applyFont="1" applyBorder="0" applyAlignment="0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2" borderId="3" xfId="0" applyNumberFormat="1" applyFont="1" applyFill="1" applyBorder="1" applyAlignment="1">
      <x:alignment horizontal="center" vertical="center" wrapText="1"/>
    </x:xf>
    <x:xf numFmtId="164" fontId="1" fillId="0" borderId="3" xfId="0" applyNumberFormat="1" applyFont="1" applyFill="1" applyBorder="1" applyAlignment="1">
      <x:alignment horizontal="center" vertical="center" wrapText="1"/>
    </x:xf>
    <x:xf numFmtId="164" fontId="8" fillId="3" borderId="3" xfId="0" applyNumberFormat="1" applyFont="1" applyFill="1" applyBorder="1" applyAlignment="1">
      <x:alignment horizontal="left" vertical="top" wrapText="1"/>
    </x:xf>
    <x:xf numFmtId="164" fontId="1" fillId="0" borderId="3" xfId="0" applyNumberFormat="1" applyFont="1" applyFill="1" applyBorder="1" applyAlignment="1">
      <x:alignment horizontal="left" vertical="top" wrapText="1"/>
    </x:xf>
    <x:xf numFmtId="164" fontId="0" fillId="0" borderId="3" xfId="0" applyNumberFormat="1" applyFont="1" applyFill="1" applyBorder="1" applyAlignment="1">
      <x:alignment horizontal="center" vertical="center" wrapText="1"/>
    </x:xf>
    <x:xf numFmtId="164" fontId="8" fillId="3" borderId="3" xfId="0" applyNumberFormat="1" applyFont="1" applyFill="1" applyBorder="1" applyAlignment="1">
      <x:alignment horizontal="center" vertical="center" wrapText="1"/>
    </x:xf>
    <x:xf numFmtId="164" fontId="8" fillId="0" borderId="2" xfId="0" applyNumberFormat="1" applyFont="1" applyFill="1" applyBorder="1" applyAlignment="1">
      <x:alignment horizontal="general" vertical="bottom" wrapText="0"/>
    </x:xf>
    <x:xf numFmtId="166" fontId="1" fillId="0" borderId="2" xfId="0" applyNumberFormat="1" applyFont="1" applyFill="1" applyBorder="1" applyAlignment="1">
      <x:alignment horizontal="general" vertical="bottom" wrapText="0"/>
    </x:xf>
    <x:xf numFmtId="164" fontId="6" fillId="4" borderId="1" xfId="0" applyNumberFormat="1" applyFont="1" applyFill="1" applyBorder="1" applyAlignment="1">
      <x:alignment horizontal="center" vertical="center" wrapText="1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9" fillId="4" borderId="0" xfId="0" applyNumberFormat="1" applyFont="1" applyFill="1" applyBorder="1" applyAlignment="1">
      <x:alignment horizontal="general" vertical="bottom" wrapText="0"/>
    </x:xf>
    <x:xf numFmtId="164" fontId="9" fillId="4" borderId="0" xfId="0" applyNumberFormat="1" applyFont="1" applyFill="1" applyBorder="1" applyAlignment="1">
      <x:alignment horizontal="general" vertical="bottom" wrapText="1"/>
    </x:xf>
    <x:xf numFmtId="164" fontId="9" fillId="4" borderId="0" xfId="0" applyNumberFormat="1" applyFont="1" applyFill="1" applyBorder="1" applyAlignment="1">
      <x:alignment horizontal="center" vertical="bottom" wrapText="1"/>
    </x:xf>
    <x:xf numFmtId="164" fontId="9" fillId="4" borderId="0" xfId="0" applyNumberFormat="1" applyFont="1" applyFill="1" applyBorder="1" applyAlignment="1">
      <x:alignment horizontal="center" vertical="center" wrapText="1"/>
    </x:xf>
    <x:xf numFmtId="164" fontId="6" fillId="4" borderId="3" xfId="0" applyNumberFormat="1" applyFont="1" applyFill="1" applyBorder="1" applyAlignment="1">
      <x:alignment horizontal="center" vertical="center" wrapText="1"/>
    </x:xf>
    <x:xf numFmtId="164" fontId="0" fillId="4" borderId="2" xfId="0" applyNumberFormat="1" applyFont="1" applyFill="1" applyBorder="1" applyAlignment="1">
      <x:alignment horizontal="general" vertical="bottom" wrapText="0"/>
    </x:xf>
    <x:xf numFmtId="164" fontId="9" fillId="4" borderId="2" xfId="0" applyNumberFormat="1" applyFont="1" applyFill="1" applyBorder="1" applyAlignment="1">
      <x:alignment horizontal="general" vertical="bottom" wrapText="0"/>
    </x:xf>
    <x:xf numFmtId="164" fontId="9" fillId="4" borderId="2" xfId="0" applyNumberFormat="1" applyFont="1" applyFill="1" applyBorder="1" applyAlignment="1">
      <x:alignment horizontal="general" vertical="bottom" wrapText="1"/>
    </x:xf>
    <x:xf numFmtId="164" fontId="9" fillId="4" borderId="2" xfId="0" applyNumberFormat="1" applyFont="1" applyFill="1" applyBorder="1" applyAlignment="1">
      <x:alignment horizontal="center" vertical="bottom" wrapText="1"/>
    </x:xf>
    <x:xf numFmtId="164" fontId="9" fillId="4" borderId="2" xfId="0" applyNumberFormat="1" applyFont="1" applyFill="1" applyBorder="1" applyAlignment="1">
      <x:alignment horizontal="center" vertical="center" wrapText="1"/>
    </x:xf>
    <x:xf numFmtId="164" fontId="4" fillId="5" borderId="0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0" fillId="5" borderId="0" xfId="0" applyNumberFormat="1" applyFont="1" applyFill="1" applyBorder="1" applyAlignment="1">
      <x:alignment horizontal="general" vertical="bottom" wrapText="0"/>
    </x:xf>
    <x:xf numFmtId="164" fontId="11" fillId="5" borderId="0" xfId="0" applyNumberFormat="1" applyFont="1" applyFill="1" applyBorder="1" applyAlignment="1">
      <x:alignment horizontal="general" vertical="bottom" wrapText="0"/>
    </x:xf>
    <x:xf numFmtId="164" fontId="10" fillId="5" borderId="0" xfId="0" applyNumberFormat="1" applyFont="1" applyFill="1" applyBorder="1" applyAlignment="1">
      <x:alignment horizontal="general" vertical="center" wrapText="0"/>
    </x:xf>
    <x:xf numFmtId="164" fontId="11" fillId="5" borderId="0" xfId="0" applyNumberFormat="1" applyFont="1" applyFill="1" applyBorder="1" applyAlignment="1">
      <x:alignment horizontal="general" vertical="center" wrapText="0"/>
    </x:xf>
    <x:xf numFmtId="164" fontId="4" fillId="5" borderId="2" xfId="0" applyNumberFormat="1" applyFont="1" applyFill="1" applyBorder="1" applyAlignment="1">
      <x:alignment horizontal="general" vertical="bottom" wrapText="0"/>
    </x:xf>
    <x:xf numFmtId="164" fontId="0" fillId="5" borderId="2" xfId="0" applyNumberFormat="1" applyFont="1" applyFill="1" applyBorder="1" applyAlignment="1">
      <x:alignment horizontal="general" vertical="bottom" wrapText="0"/>
    </x:xf>
    <x:xf numFmtId="164" fontId="10" fillId="5" borderId="2" xfId="0" applyNumberFormat="1" applyFont="1" applyFill="1" applyBorder="1" applyAlignment="1">
      <x:alignment horizontal="general" vertical="bottom" wrapText="0"/>
    </x:xf>
    <x:xf numFmtId="164" fontId="11" fillId="5" borderId="2" xfId="0" applyNumberFormat="1" applyFont="1" applyFill="1" applyBorder="1" applyAlignment="1">
      <x:alignment horizontal="general" vertical="bottom" wrapText="0"/>
    </x:xf>
    <x:xf numFmtId="164" fontId="10" fillId="5" borderId="2" xfId="0" applyNumberFormat="1" applyFont="1" applyFill="1" applyBorder="1" applyAlignment="1">
      <x:alignment horizontal="general" vertical="center" wrapText="0"/>
    </x:xf>
    <x:xf numFmtId="164" fontId="11" fillId="5" borderId="2" xfId="0" applyNumberFormat="1" applyFont="1" applyFill="1" applyBorder="1" applyAlignment="1">
      <x:alignment horizontal="general" vertical="center" wrapText="0"/>
    </x:xf>
    <x:xf numFmtId="164" fontId="5" fillId="6" borderId="0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2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2" fillId="6" borderId="0" xfId="0" applyNumberFormat="1" applyFont="1" applyFill="1" applyBorder="1" applyAlignment="1">
      <x:alignment horizontal="general" vertical="bottom" wrapText="1"/>
    </x:xf>
    <x:xf numFmtId="164" fontId="13" fillId="6" borderId="0" xfId="0" applyNumberFormat="1" applyFont="1" applyFill="1" applyBorder="1" applyAlignment="1">
      <x:alignment horizontal="general" vertical="bottom" wrapText="1"/>
    </x:xf>
    <x:xf numFmtId="164" fontId="5" fillId="6" borderId="2" xfId="0" applyNumberFormat="1" applyFont="1" applyFill="1" applyBorder="1" applyAlignment="1">
      <x:alignment horizontal="general" vertical="bottom" wrapText="0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12" fillId="6" borderId="2" xfId="0" applyNumberFormat="1" applyFont="1" applyFill="1" applyBorder="1" applyAlignment="1">
      <x:alignment horizontal="general" vertical="bottom" wrapText="0"/>
    </x:xf>
    <x:xf numFmtId="164" fontId="13" fillId="6" borderId="2" xfId="0" applyNumberFormat="1" applyFont="1" applyFill="1" applyBorder="1" applyAlignment="1">
      <x:alignment horizontal="general" vertical="bottom" wrapText="0"/>
    </x:xf>
    <x:xf numFmtId="164" fontId="12" fillId="6" borderId="2" xfId="0" applyNumberFormat="1" applyFont="1" applyFill="1" applyBorder="1" applyAlignment="1">
      <x:alignment horizontal="general" vertical="bottom" wrapText="1"/>
    </x:xf>
    <x:xf numFmtId="164" fontId="13" fillId="6" borderId="2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center" vertical="center" wrapText="1"/>
    </x:xf>
    <x:xf numFmtId="164" fontId="8" fillId="3" borderId="1" xfId="0" applyNumberFormat="1" applyFont="1" applyFill="1" applyBorder="1" applyAlignment="1">
      <x:alignment horizontal="left" vertical="top" wrapText="1"/>
    </x:xf>
    <x:xf numFmtId="164" fontId="1" fillId="0" borderId="1" xfId="0" applyNumberFormat="1" applyFont="1" applyFill="1" applyBorder="1" applyAlignment="1">
      <x:alignment horizontal="left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6" fontId="0" fillId="0" borderId="0" xfId="0" applyNumberFormat="1" applyFont="1" applyFill="1" applyBorder="1" applyAlignment="1">
      <x:alignment horizontal="general" vertical="bottom" wrapText="0"/>
    </x:xf>
    <x:xf numFmtId="166" fontId="0" fillId="0" borderId="2" xfId="0" applyNumberFormat="1" applyFont="1" applyFill="1" applyBorder="1" applyAlignment="1">
      <x:alignment horizontal="general" vertical="bottom" wrapText="0"/>
    </x:xf>
    <x:xf numFmtId="164" fontId="9" fillId="4" borderId="0" xfId="0" applyNumberFormat="1" applyFont="1" applyFill="1" applyBorder="1" applyAlignment="1">
      <x:alignment horizontal="center" vertical="bottom" wrapText="0"/>
    </x:xf>
    <x:xf numFmtId="164" fontId="9" fillId="4" borderId="2" xfId="0" applyNumberFormat="1" applyFont="1" applyFill="1" applyBorder="1" applyAlignment="1">
      <x:alignment horizontal="center" vertical="bottom" wrapText="0"/>
    </x:xf>
    <x:xf numFmtId="164" fontId="8" fillId="6" borderId="1" xfId="0" applyNumberFormat="1" applyFont="1" applyFill="1" applyBorder="1" applyAlignment="1">
      <x:alignment horizontal="left" vertical="top" wrapText="1"/>
    </x:xf>
    <x:xf numFmtId="164" fontId="8" fillId="6" borderId="1" xfId="0" applyNumberFormat="1" applyFont="1" applyFill="1" applyBorder="1" applyAlignment="1">
      <x:alignment horizontal="center" vertical="center" wrapText="1"/>
    </x:xf>
    <x:xf numFmtId="166" fontId="0" fillId="6" borderId="0" xfId="0" applyNumberFormat="1" applyFont="1" applyFill="1" applyBorder="1" applyAlignment="1">
      <x:alignment horizontal="general" vertical="bottom" wrapText="0"/>
    </x:xf>
    <x:xf numFmtId="164" fontId="14" fillId="6" borderId="0" xfId="0" applyNumberFormat="1" applyFont="1" applyFill="1" applyBorder="1" applyAlignment="1">
      <x:alignment horizontal="general" vertical="bottom" wrapText="0"/>
    </x:xf>
    <x:xf numFmtId="166" fontId="14" fillId="6" borderId="0" xfId="0" applyNumberFormat="1" applyFont="1" applyFill="1" applyBorder="1" applyAlignment="1">
      <x:alignment horizontal="general" vertical="bottom" wrapText="0"/>
    </x:xf>
    <x:xf numFmtId="164" fontId="8" fillId="6" borderId="3" xfId="0" applyNumberFormat="1" applyFont="1" applyFill="1" applyBorder="1" applyAlignment="1">
      <x:alignment horizontal="left" vertical="top" wrapText="1"/>
    </x:xf>
    <x:xf numFmtId="164" fontId="8" fillId="6" borderId="3" xfId="0" applyNumberFormat="1" applyFont="1" applyFill="1" applyBorder="1" applyAlignment="1">
      <x:alignment horizontal="center" vertical="center" wrapText="1"/>
    </x:xf>
    <x:xf numFmtId="166" fontId="0" fillId="6" borderId="2" xfId="0" applyNumberFormat="1" applyFont="1" applyFill="1" applyBorder="1" applyAlignment="1">
      <x:alignment horizontal="general" vertical="bottom" wrapText="0"/>
    </x:xf>
    <x:xf numFmtId="164" fontId="14" fillId="6" borderId="2" xfId="0" applyNumberFormat="1" applyFont="1" applyFill="1" applyBorder="1" applyAlignment="1">
      <x:alignment horizontal="general" vertical="bottom" wrapText="0"/>
    </x:xf>
    <x:xf numFmtId="166" fontId="14" fillId="6" borderId="2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0"/>
    </x:xf>
    <x:xf numFmtId="164" fontId="16" fillId="5" borderId="0" xfId="0" applyNumberFormat="1" applyFont="1" applyFill="1" applyBorder="1" applyAlignment="1">
      <x:alignment horizontal="general" vertical="bottom" wrapText="0"/>
    </x:xf>
    <x:xf numFmtId="164" fontId="15" fillId="5" borderId="2" xfId="0" applyNumberFormat="1" applyFont="1" applyFill="1" applyBorder="1" applyAlignment="1">
      <x:alignment horizontal="general" vertical="bottom" wrapText="0"/>
    </x:xf>
    <x:xf numFmtId="164" fontId="16" fillId="5" borderId="2" xfId="0" applyNumberFormat="1" applyFont="1" applyFill="1" applyBorder="1" applyAlignment="1">
      <x:alignment horizontal="general" vertical="bottom" wrapText="0"/>
    </x:xf>
    <x:xf numFmtId="164" fontId="17" fillId="6" borderId="0" xfId="0" applyNumberFormat="1" applyFont="1" applyFill="1" applyBorder="1" applyAlignment="1">
      <x:alignment horizontal="general" vertical="bottom" wrapText="0"/>
    </x:xf>
    <x:xf numFmtId="164" fontId="5" fillId="6" borderId="0" xfId="0" applyNumberFormat="1" applyFont="1" applyFill="1" applyBorder="1" applyAlignment="1">
      <x:alignment horizontal="general" vertical="bottom" wrapText="1"/>
    </x:xf>
    <x:xf numFmtId="164" fontId="17" fillId="6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4F7FA"/>
      <x:rgbColor rgb="FFCCFFFF"/>
      <x:rgbColor rgb="FF660066"/>
      <x:rgbColor rgb="FFFF8080"/>
      <x:rgbColor rgb="FF0066CC"/>
      <x:rgbColor rgb="FFD9DEE7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7085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B2A4A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0434ebb2949ef" /><Relationship Type="http://schemas.openxmlformats.org/officeDocument/2006/relationships/theme" Target="/xl/theme/theme1.xml" Id="R59580027a78745b9" /><Relationship Type="http://schemas.openxmlformats.org/officeDocument/2006/relationships/sharedStrings" Target="/xl/sharedStrings.xml" Id="R8f44f6a63eaf4f13" /><Relationship Type="http://schemas.openxmlformats.org/officeDocument/2006/relationships/worksheet" Target="/xl/worksheets/sheet1.xml" Id="Ra1b0b3cf44124a26" /><Relationship Type="http://schemas.openxmlformats.org/officeDocument/2006/relationships/worksheet" Target="/xl/worksheets/sheet2.xml" Id="Rfe6a28d9fb59427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7" hidden="0" customWidth="1"/>
    <x:col min="2" max="2" width="21" hidden="0" customWidth="1"/>
    <x:col min="3" max="3" width="14" hidden="0" customWidth="1"/>
    <x:col min="4" max="4" width="43" hidden="0" customWidth="1"/>
    <x:col min="5" max="5" width="37" hidden="0" customWidth="1"/>
    <x:col min="6" max="6" width="50" hidden="0" customWidth="1"/>
    <x:col min="7" max="7" width="15" hidden="0" customWidth="1"/>
    <x:col min="8" max="8" width="19" hidden="0" customWidth="1"/>
    <x:col min="9" max="9" width="34" hidden="0" customWidth="1"/>
    <x:col min="10" max="10" width="24" hidden="0" customWidth="1"/>
  </x:cols>
  <x:sheetData>
    <x:row r="1" ht="24" hidden="0" customHeight="1">
      <x:c r="A1" s="38" t="str">
        <x:v>Multi-Lecture Tutor — 38-Task Final Evaluation Set</x:v>
      </x:c>
      <x:c r="B1" s="38"/>
      <x:c r="C1" s="38"/>
      <x:c r="D1" s="38"/>
      <x:c r="E1" s="38"/>
      <x:c r="F1" s="38"/>
      <x:c r="G1" s="38"/>
      <x:c r="H1" s="38"/>
      <x:c r="I1" s="39"/>
      <x:c r="J1" s="39"/>
    </x:row>
    <x:row r="2" ht="18" hidden="0" customHeight="1">
      <x:c r="A2" s="50" t="str">
        <x:v>MIT 18.06 Linear Algebra · Lectures 1–34 · Frozen config: chunk=1200, k=3, reranker=ON · Run end-to-end in the final web app; LangSmith captures technical traces.</x:v>
      </x:c>
      <x:c r="B2" s="50"/>
      <x:c r="C2" s="50"/>
      <x:c r="D2" s="50"/>
      <x:c r="E2" s="50"/>
      <x:c r="F2" s="50"/>
      <x:c r="G2" s="50"/>
      <x:c r="H2" s="50"/>
      <x:c r="I2" s="51"/>
      <x:c r="J2" s="51"/>
    </x:row>
    <x:row r="4" ht="30" hidden="0" customHeight="1">
      <x:c r="A4" s="22" t="str">
        <x:v>ID</x:v>
      </x:c>
      <x:c r="B4" s="22" t="str">
        <x:v>Category</x:v>
      </x:c>
      <x:c r="C4" s="22" t="str">
        <x:v>Lecture Scope</x:v>
      </x:c>
      <x:c r="D4" s="22" t="str">
        <x:v>Task / Prompt (turns separated by &gt;&gt;)</x:v>
      </x:c>
      <x:c r="E4" s="22" t="str">
        <x:v>Expected Tool(s) Called</x:v>
      </x:c>
      <x:c r="F4" s="22" t="str">
        <x:v>Pass Criteria</x:v>
      </x:c>
      <x:c r="G4" s="22" t="str">
        <x:v>Result (Pass/Fail)</x:v>
      </x:c>
      <x:c r="H4" s="22" t="str">
        <x:v>Failure Type</x:v>
      </x:c>
      <x:c r="I4" s="27" t="str">
        <x:v>Notes</x:v>
      </x:c>
      <x:c r="J4" s="27" t="str">
        <x:v>LangSmith Run ID</x:v>
      </x:c>
    </x:row>
    <x:row r="5" ht="57.75" hidden="0" customHeight="1">
      <x:c r="A5" s="58" t="n">
        <x:v>1</x:v>
      </x:c>
      <x:c r="B5" s="59" t="s">
        <x:v>0</x:v>
      </x:c>
      <x:c r="C5" s="58" t="s">
        <x:v>1</x:v>
      </x:c>
      <x:c r="D5" s="60" t="s">
        <x:v>2</x:v>
      </x:c>
      <x:c r="E5" s="60" t="s">
        <x:v>3</x:v>
      </x:c>
      <x:c r="F5" s="60" t="str">
        <x:v>Defines column space correctly as the span of a matrix's columns; answer is grounded in relevant MIT 18.06 lecture evidence and includes a valid lecture/source timestamp. Do not require one exact lecture unless the prompt names it.</x:v>
      </x:c>
      <x:c r="G5" s="58"/>
      <x:c r="H5" s="60"/>
      <x:c r="I5" s="61" t="str">
        <x:v>Use Pass only when the core behavior succeeds. If a meaningful defect remains, mark Fail and describe it here.</x:v>
      </x:c>
      <x:c r="J5" s="61"/>
    </x:row>
    <x:row r="6" ht="57.75" hidden="0" customHeight="1">
      <x:c r="A6" s="58" t="n">
        <x:v>2</x:v>
      </x:c>
      <x:c r="B6" s="59" t="s">
        <x:v>0</x:v>
      </x:c>
      <x:c r="C6" s="58" t="s">
        <x:v>1</x:v>
      </x:c>
      <x:c r="D6" s="60" t="s">
        <x:v>4</x:v>
      </x:c>
      <x:c r="E6" s="60" t="s">
        <x:v>3</x:v>
      </x:c>
      <x:c r="F6" s="60" t="str">
        <x:v>Correctly explains invertibility (existence of A⁻¹ and equivalent course ideas where supported); answer is grounded in relevant course evidence and includes a valid source/timestamp. Exact lecture match is not required for this general question.</x:v>
      </x:c>
      <x:c r="G6" s="58"/>
      <x:c r="H6" s="60"/>
      <x:c r="I6" s="61"/>
      <x:c r="J6" s="61"/>
    </x:row>
    <x:row r="7" ht="57.75" hidden="0" customHeight="1">
      <x:c r="A7" s="58" t="n">
        <x:v>3</x:v>
      </x:c>
      <x:c r="B7" s="59" t="s">
        <x:v>0</x:v>
      </x:c>
      <x:c r="C7" s="58" t="s">
        <x:v>1</x:v>
      </x:c>
      <x:c r="D7" s="60" t="s">
        <x:v>5</x:v>
      </x:c>
      <x:c r="E7" s="60" t="s">
        <x:v>3</x:v>
      </x:c>
      <x:c r="F7" s="60" t="str">
        <x:v>Correctly defines an eigenvector using Ax = λx (with a nonzero vector); answer is grounded in relevant course evidence and includes a valid source/timestamp. Exact lecture match is not required for this general question.</x:v>
      </x:c>
      <x:c r="G7" s="58"/>
      <x:c r="H7" s="60"/>
      <x:c r="I7" s="61"/>
      <x:c r="J7" s="61"/>
    </x:row>
    <x:row r="8" ht="57.75" hidden="0" customHeight="1">
      <x:c r="A8" s="58" t="n">
        <x:v>4</x:v>
      </x:c>
      <x:c r="B8" s="59" t="s">
        <x:v>0</x:v>
      </x:c>
      <x:c r="C8" s="58" t="s">
        <x:v>1</x:v>
      </x:c>
      <x:c r="D8" s="60" t="s">
        <x:v>6</x:v>
      </x:c>
      <x:c r="E8" s="60" t="s">
        <x:v>3</x:v>
      </x:c>
      <x:c r="F8" s="60" t="str">
        <x:v>Correctly distinguishes null space (solutions of Ax=0) from column space (span of columns); answer is grounded in relevant course evidence and includes valid source/timestamp information. Exact lecture match is not required.</x:v>
      </x:c>
      <x:c r="G8" s="58"/>
      <x:c r="H8" s="60"/>
      <x:c r="I8" s="61"/>
      <x:c r="J8" s="61"/>
    </x:row>
    <x:row r="9" ht="57.75" hidden="0" customHeight="1">
      <x:c r="A9" s="58" t="n">
        <x:v>5</x:v>
      </x:c>
      <x:c r="B9" s="59" t="s">
        <x:v>0</x:v>
      </x:c>
      <x:c r="C9" s="58" t="s">
        <x:v>1</x:v>
      </x:c>
      <x:c r="D9" s="60" t="s">
        <x:v>7</x:v>
      </x:c>
      <x:c r="E9" s="60" t="s">
        <x:v>3</x:v>
      </x:c>
      <x:c r="F9" s="60" t="str">
        <x:v>Correctly explains positive definiteness using course-supported properties such as xᵀAx &gt; 0 for nonzero x and/or positive eigenvalues where appropriate; answer is grounded in relevant course evidence with a valid source/timestamp. Exact lecture match is not required.</x:v>
      </x:c>
      <x:c r="G9" s="58"/>
      <x:c r="H9" s="60"/>
      <x:c r="I9" s="61"/>
      <x:c r="J9" s="61"/>
    </x:row>
    <x:row r="10" ht="57.75" hidden="0" customHeight="1">
      <x:c r="A10" s="58" t="n">
        <x:v>6</x:v>
      </x:c>
      <x:c r="B10" s="59" t="s">
        <x:v>0</x:v>
      </x:c>
      <x:c r="C10" s="58" t="s">
        <x:v>1</x:v>
      </x:c>
      <x:c r="D10" s="60" t="s">
        <x:v>8</x:v>
      </x:c>
      <x:c r="E10" s="60" t="s">
        <x:v>3</x:v>
      </x:c>
      <x:c r="F10" s="60" t="str">
        <x:v>Correctly explains orthogonality using zero dot product; answer is grounded in relevant MIT 18.06 evidence and includes a valid source/timestamp. Exact lecture match is not required for this general question.</x:v>
      </x:c>
      <x:c r="G10" s="58"/>
      <x:c r="H10" s="60"/>
      <x:c r="I10" s="61"/>
      <x:c r="J10" s="61"/>
    </x:row>
    <x:row r="11" ht="57.75" hidden="0" customHeight="1">
      <x:c r="A11" s="58" t="n">
        <x:v>7</x:v>
      </x:c>
      <x:c r="B11" s="59" t="s">
        <x:v>9</x:v>
      </x:c>
      <x:c r="C11" s="58" t="s">
        <x:v>10</x:v>
      </x:c>
      <x:c r="D11" s="60" t="s">
        <x:v>11</x:v>
      </x:c>
      <x:c r="E11" s="60" t="s">
        <x:v>12</x:v>
      </x:c>
      <x:c r="F11" s="60" t="s">
        <x:v>13</x:v>
      </x:c>
      <x:c r="G11" s="58"/>
      <x:c r="H11" s="60"/>
      <x:c r="I11" s="61"/>
      <x:c r="J11" s="61"/>
    </x:row>
    <x:row r="12" ht="57.75" hidden="0" customHeight="1">
      <x:c r="A12" s="58" t="n">
        <x:v>8</x:v>
      </x:c>
      <x:c r="B12" s="59" t="s">
        <x:v>9</x:v>
      </x:c>
      <x:c r="C12" s="58" t="s">
        <x:v>14</x:v>
      </x:c>
      <x:c r="D12" s="60" t="s">
        <x:v>15</x:v>
      </x:c>
      <x:c r="E12" s="60" t="s">
        <x:v>16</x:v>
      </x:c>
      <x:c r="F12" s="60" t="s">
        <x:v>17</x:v>
      </x:c>
      <x:c r="G12" s="58"/>
      <x:c r="H12" s="60"/>
      <x:c r="I12" s="61"/>
      <x:c r="J12" s="61"/>
    </x:row>
    <x:row r="13" ht="57.75" hidden="0" customHeight="1">
      <x:c r="A13" s="58" t="n">
        <x:v>9</x:v>
      </x:c>
      <x:c r="B13" s="59" t="s">
        <x:v>9</x:v>
      </x:c>
      <x:c r="C13" s="58" t="s">
        <x:v>18</x:v>
      </x:c>
      <x:c r="D13" s="60" t="s">
        <x:v>19</x:v>
      </x:c>
      <x:c r="E13" s="60" t="s">
        <x:v>20</x:v>
      </x:c>
      <x:c r="F13" s="60" t="s">
        <x:v>21</x:v>
      </x:c>
      <x:c r="G13" s="58"/>
      <x:c r="H13" s="60"/>
      <x:c r="I13" s="61"/>
      <x:c r="J13" s="61"/>
    </x:row>
    <x:row r="14" ht="57.75" hidden="0" customHeight="1">
      <x:c r="A14" s="58" t="n">
        <x:v>10</x:v>
      </x:c>
      <x:c r="B14" s="59" t="s">
        <x:v>9</x:v>
      </x:c>
      <x:c r="C14" s="58" t="s">
        <x:v>22</x:v>
      </x:c>
      <x:c r="D14" s="60" t="s">
        <x:v>23</x:v>
      </x:c>
      <x:c r="E14" s="60" t="s">
        <x:v>24</x:v>
      </x:c>
      <x:c r="F14" s="60" t="s">
        <x:v>25</x:v>
      </x:c>
      <x:c r="G14" s="58"/>
      <x:c r="H14" s="60"/>
      <x:c r="I14" s="61"/>
      <x:c r="J14" s="61"/>
    </x:row>
    <x:row r="15" ht="57.75" hidden="0" customHeight="1">
      <x:c r="A15" s="58" t="n">
        <x:v>11</x:v>
      </x:c>
      <x:c r="B15" s="59" t="s">
        <x:v>9</x:v>
      </x:c>
      <x:c r="C15" s="58" t="s">
        <x:v>26</x:v>
      </x:c>
      <x:c r="D15" s="60" t="s">
        <x:v>27</x:v>
      </x:c>
      <x:c r="E15" s="60" t="s">
        <x:v>28</x:v>
      </x:c>
      <x:c r="F15" s="60" t="s">
        <x:v>29</x:v>
      </x:c>
      <x:c r="G15" s="58"/>
      <x:c r="H15" s="60"/>
      <x:c r="I15" s="61"/>
      <x:c r="J15" s="61"/>
    </x:row>
    <x:row r="16" ht="57.75" hidden="0" customHeight="1">
      <x:c r="A16" s="58" t="n">
        <x:v>12</x:v>
      </x:c>
      <x:c r="B16" s="59" t="s">
        <x:v>9</x:v>
      </x:c>
      <x:c r="C16" s="58" t="s">
        <x:v>30</x:v>
      </x:c>
      <x:c r="D16" s="60" t="s">
        <x:v>31</x:v>
      </x:c>
      <x:c r="E16" s="60" t="s">
        <x:v>32</x:v>
      </x:c>
      <x:c r="F16" s="60" t="s">
        <x:v>33</x:v>
      </x:c>
      <x:c r="G16" s="58"/>
      <x:c r="H16" s="60"/>
      <x:c r="I16" s="61"/>
      <x:c r="J16" s="61"/>
    </x:row>
    <x:row r="17" ht="57.75" hidden="0" customHeight="1">
      <x:c r="A17" s="58" t="n">
        <x:v>13</x:v>
      </x:c>
      <x:c r="B17" s="59" t="s">
        <x:v>34</x:v>
      </x:c>
      <x:c r="C17" s="58" t="s">
        <x:v>35</x:v>
      </x:c>
      <x:c r="D17" s="60" t="s">
        <x:v>36</x:v>
      </x:c>
      <x:c r="E17" s="60" t="str">
        <x:v>search_lecture — one or more calls are acceptable; retrieved evidence must be sufficient to compare the relevant L6/L10 concepts.</x:v>
      </x:c>
      <x:c r="F17" s="60" t="str">
        <x:v>Correctly relates the four fundamental subspaces to the column/null spaces of A and Aᵀ. Pass based on correct, grounded comparison using sufficient relevant evidence; do not require a specific number of search calls.</x:v>
      </x:c>
      <x:c r="G17" s="58"/>
      <x:c r="H17" s="60"/>
      <x:c r="I17" s="61"/>
      <x:c r="J17" s="61"/>
    </x:row>
    <x:row r="18" ht="57.75" hidden="0" customHeight="1">
      <x:c r="A18" s="58" t="n">
        <x:v>14</x:v>
      </x:c>
      <x:c r="B18" s="59" t="s">
        <x:v>34</x:v>
      </x:c>
      <x:c r="C18" s="58" t="s">
        <x:v>37</x:v>
      </x:c>
      <x:c r="D18" s="60" t="s">
        <x:v>38</x:v>
      </x:c>
      <x:c r="E18" s="60" t="str">
        <x:v>search_lecture — one or more calls are acceptable; evidence must support both the L15 projection and L16 least-squares concepts.</x:v>
      </x:c>
      <x:c r="F18" s="60" t="str">
        <x:v>Correctly distinguishes projection onto a subspace from least squares as an application of projection to solve an inconsistent system. Pass based on answer quality and grounding, not the number of tool calls.</x:v>
      </x:c>
      <x:c r="G18" s="58"/>
      <x:c r="H18" s="60"/>
      <x:c r="I18" s="61"/>
      <x:c r="J18" s="61"/>
    </x:row>
    <x:row r="19" ht="57.75" hidden="0" customHeight="1">
      <x:c r="A19" s="58" t="n">
        <x:v>15</x:v>
      </x:c>
      <x:c r="B19" s="59" t="s">
        <x:v>34</x:v>
      </x:c>
      <x:c r="C19" s="58" t="s">
        <x:v>39</x:v>
      </x:c>
      <x:c r="D19" s="60" t="s">
        <x:v>40</x:v>
      </x:c>
      <x:c r="E19" s="60" t="str">
        <x:v>search_lecture — one or more calls are acceptable; evidence must support the relevant L21/L29 concepts.</x:v>
      </x:c>
      <x:c r="F19" s="60" t="str">
        <x:v>Correctly distinguishes when eigendecomposition versus SVD is appropriate using course-supported ideas. The response must be grounded in sufficient evidence for both sides of the comparison; do not fail solely because the agent used one search call.</x:v>
      </x:c>
      <x:c r="G19" s="58"/>
      <x:c r="H19" s="60"/>
      <x:c r="I19" s="61"/>
      <x:c r="J19" s="61"/>
    </x:row>
    <x:row r="20" ht="57.75" hidden="0" customHeight="1">
      <x:c r="A20" s="58" t="n">
        <x:v>16</x:v>
      </x:c>
      <x:c r="B20" s="59" t="s">
        <x:v>34</x:v>
      </x:c>
      <x:c r="C20" s="58" t="s">
        <x:v>41</x:v>
      </x:c>
      <x:c r="D20" s="60" t="s">
        <x:v>42</x:v>
      </x:c>
      <x:c r="E20" s="60" t="str">
        <x:v>search_lecture — one or more calls are acceptable; evidence must support the relevant L25/L27 concepts.</x:v>
      </x:c>
      <x:c r="F20" s="60" t="str">
        <x:v>Correctly connects symmetric positive definiteness to the positive-definite quadratic/minimization viewpoint using course evidence. Pass based on correctness and grounding across the relevant concepts, independent of tool-call count.</x:v>
      </x:c>
      <x:c r="G20" s="58"/>
      <x:c r="H20" s="60"/>
      <x:c r="I20" s="61"/>
      <x:c r="J20" s="61"/>
    </x:row>
    <x:row r="21" ht="57.75" hidden="0" customHeight="1">
      <x:c r="A21" s="58" t="n">
        <x:v>17</x:v>
      </x:c>
      <x:c r="B21" s="59" t="s">
        <x:v>34</x:v>
      </x:c>
      <x:c r="C21" s="58" t="s">
        <x:v>43</x:v>
      </x:c>
      <x:c r="D21" s="60" t="s">
        <x:v>44</x:v>
      </x:c>
      <x:c r="E21" s="60" t="str">
        <x:v>search_lecture — one or more calls are acceptable; evidence must support the relevant L19/L20 determinant concepts.</x:v>
      </x:c>
      <x:c r="F21" s="60" t="str">
        <x:v>Correctly distinguishes cofactor expansion as a way to compute determinants from determinant properties/uses discussed across the relevant lectures. Pass based on a correct grounded comparison, not on a required number of retrieval calls.</x:v>
      </x:c>
      <x:c r="G21" s="58"/>
      <x:c r="H21" s="60"/>
      <x:c r="I21" s="61"/>
      <x:c r="J21" s="61"/>
    </x:row>
    <x:row r="22" ht="57.75" hidden="0" customHeight="1">
      <x:c r="A22" s="58" t="n">
        <x:v>18</x:v>
      </x:c>
      <x:c r="B22" s="59" t="s">
        <x:v>45</x:v>
      </x:c>
      <x:c r="C22" s="58" t="s">
        <x:v>46</x:v>
      </x:c>
      <x:c r="D22" s="60" t="s">
        <x:v>47</x:v>
      </x:c>
      <x:c r="E22" s="60" t="s">
        <x:v>48</x:v>
      </x:c>
      <x:c r="F22" s="60" t="s">
        <x:v>49</x:v>
      </x:c>
      <x:c r="G22" s="58"/>
      <x:c r="H22" s="60"/>
      <x:c r="I22" s="61"/>
      <x:c r="J22" s="61"/>
    </x:row>
    <x:row r="23" ht="57.75" hidden="0" customHeight="1">
      <x:c r="A23" s="58" t="n">
        <x:v>19</x:v>
      </x:c>
      <x:c r="B23" s="59" t="s">
        <x:v>45</x:v>
      </x:c>
      <x:c r="C23" s="58" t="s">
        <x:v>22</x:v>
      </x:c>
      <x:c r="D23" s="60" t="s">
        <x:v>50</x:v>
      </x:c>
      <x:c r="E23" s="60" t="s">
        <x:v>51</x:v>
      </x:c>
      <x:c r="F23" s="60" t="s">
        <x:v>52</x:v>
      </x:c>
      <x:c r="G23" s="58"/>
      <x:c r="H23" s="60"/>
      <x:c r="I23" s="61"/>
      <x:c r="J23" s="61"/>
    </x:row>
    <x:row r="24" ht="57.75" hidden="0" customHeight="1">
      <x:c r="A24" s="58" t="n">
        <x:v>20</x:v>
      </x:c>
      <x:c r="B24" s="59" t="s">
        <x:v>45</x:v>
      </x:c>
      <x:c r="C24" s="58" t="s">
        <x:v>53</x:v>
      </x:c>
      <x:c r="D24" s="60" t="s">
        <x:v>54</x:v>
      </x:c>
      <x:c r="E24" s="60" t="s">
        <x:v>51</x:v>
      </x:c>
      <x:c r="F24" s="60" t="s">
        <x:v>55</x:v>
      </x:c>
      <x:c r="G24" s="58"/>
      <x:c r="H24" s="60"/>
      <x:c r="I24" s="61"/>
      <x:c r="J24" s="61"/>
    </x:row>
    <x:row r="25" ht="57.75" hidden="0" customHeight="1">
      <x:c r="A25" s="58" t="n">
        <x:v>21</x:v>
      </x:c>
      <x:c r="B25" s="59" t="s">
        <x:v>45</x:v>
      </x:c>
      <x:c r="C25" s="58" t="s">
        <x:v>56</x:v>
      </x:c>
      <x:c r="D25" s="60" t="s">
        <x:v>57</x:v>
      </x:c>
      <x:c r="E25" s="60" t="s">
        <x:v>58</x:v>
      </x:c>
      <x:c r="F25" s="60" t="s">
        <x:v>59</x:v>
      </x:c>
      <x:c r="G25" s="58"/>
      <x:c r="H25" s="60"/>
      <x:c r="I25" s="61"/>
      <x:c r="J25" s="61"/>
    </x:row>
    <x:row r="26" ht="57.75" hidden="0" customHeight="1">
      <x:c r="A26" s="58" t="n">
        <x:v>22</x:v>
      </x:c>
      <x:c r="B26" s="59" t="s">
        <x:v>45</x:v>
      </x:c>
      <x:c r="C26" s="58" t="s">
        <x:v>60</x:v>
      </x:c>
      <x:c r="D26" s="60" t="s">
        <x:v>61</x:v>
      </x:c>
      <x:c r="E26" s="60" t="s">
        <x:v>62</x:v>
      </x:c>
      <x:c r="F26" s="60" t="s">
        <x:v>63</x:v>
      </x:c>
      <x:c r="G26" s="58"/>
      <x:c r="H26" s="60"/>
      <x:c r="I26" s="61"/>
      <x:c r="J26" s="61"/>
    </x:row>
    <x:row r="27" ht="57.75" hidden="0" customHeight="1">
      <x:c r="A27" s="58" t="n">
        <x:v>23</x:v>
      </x:c>
      <x:c r="B27" s="59" t="s">
        <x:v>64</x:v>
      </x:c>
      <x:c r="C27" s="58" t="s">
        <x:v>65</x:v>
      </x:c>
      <x:c r="D27" s="60" t="s">
        <x:v>66</x:v>
      </x:c>
      <x:c r="E27" s="60" t="s">
        <x:v>67</x:v>
      </x:c>
      <x:c r="F27" s="60" t="s">
        <x:v>68</x:v>
      </x:c>
      <x:c r="G27" s="58"/>
      <x:c r="H27" s="60"/>
      <x:c r="I27" s="61"/>
      <x:c r="J27" s="61"/>
    </x:row>
    <x:row r="28" ht="57.75" hidden="0" customHeight="1">
      <x:c r="A28" s="58" t="n">
        <x:v>24</x:v>
      </x:c>
      <x:c r="B28" s="59" t="s">
        <x:v>64</x:v>
      </x:c>
      <x:c r="C28" s="58" t="s">
        <x:v>65</x:v>
      </x:c>
      <x:c r="D28" s="60" t="s">
        <x:v>69</x:v>
      </x:c>
      <x:c r="E28" s="60" t="s">
        <x:v>70</x:v>
      </x:c>
      <x:c r="F28" s="60" t="s">
        <x:v>71</x:v>
      </x:c>
      <x:c r="G28" s="58"/>
      <x:c r="H28" s="60"/>
      <x:c r="I28" s="61"/>
      <x:c r="J28" s="61"/>
    </x:row>
    <x:row r="29" ht="57.75" hidden="0" customHeight="1">
      <x:c r="A29" s="58" t="n">
        <x:v>25</x:v>
      </x:c>
      <x:c r="B29" s="59" t="s">
        <x:v>64</x:v>
      </x:c>
      <x:c r="C29" s="58" t="s">
        <x:v>65</x:v>
      </x:c>
      <x:c r="D29" s="60" t="s">
        <x:v>72</x:v>
      </x:c>
      <x:c r="E29" s="60" t="s">
        <x:v>67</x:v>
      </x:c>
      <x:c r="F29" s="60" t="s">
        <x:v>73</x:v>
      </x:c>
      <x:c r="G29" s="58"/>
      <x:c r="H29" s="60"/>
      <x:c r="I29" s="61"/>
      <x:c r="J29" s="61"/>
    </x:row>
    <x:row r="30" ht="57.75" hidden="0" customHeight="1">
      <x:c r="A30" s="58" t="n">
        <x:v>26</x:v>
      </x:c>
      <x:c r="B30" s="59" t="s">
        <x:v>64</x:v>
      </x:c>
      <x:c r="C30" s="58" t="s">
        <x:v>74</x:v>
      </x:c>
      <x:c r="D30" s="60" t="s">
        <x:v>75</x:v>
      </x:c>
      <x:c r="E30" s="60" t="s">
        <x:v>76</x:v>
      </x:c>
      <x:c r="F30" s="60" t="s">
        <x:v>77</x:v>
      </x:c>
      <x:c r="G30" s="58"/>
      <x:c r="H30" s="60"/>
      <x:c r="I30" s="61"/>
      <x:c r="J30" s="61"/>
    </x:row>
    <x:row r="31" ht="57.75" hidden="0" customHeight="1">
      <x:c r="A31" s="58" t="n">
        <x:v>27</x:v>
      </x:c>
      <x:c r="B31" s="59" t="s">
        <x:v>78</x:v>
      </x:c>
      <x:c r="C31" s="58" t="s">
        <x:v>1</x:v>
      </x:c>
      <x:c r="D31" s="60" t="s">
        <x:v>79</x:v>
      </x:c>
      <x:c r="E31" s="60" t="s">
        <x:v>80</x:v>
      </x:c>
      <x:c r="F31" s="60" t="s">
        <x:v>81</x:v>
      </x:c>
      <x:c r="G31" s="58"/>
      <x:c r="H31" s="60"/>
      <x:c r="I31" s="61"/>
      <x:c r="J31" s="61"/>
    </x:row>
    <x:row r="32" ht="57.75" hidden="0" customHeight="1">
      <x:c r="A32" s="58" t="n">
        <x:v>28</x:v>
      </x:c>
      <x:c r="B32" s="59" t="s">
        <x:v>78</x:v>
      </x:c>
      <x:c r="C32" s="58" t="s">
        <x:v>22</x:v>
      </x:c>
      <x:c r="D32" s="60" t="s">
        <x:v>82</x:v>
      </x:c>
      <x:c r="E32" s="60" t="s">
        <x:v>83</x:v>
      </x:c>
      <x:c r="F32" s="60" t="s">
        <x:v>84</x:v>
      </x:c>
      <x:c r="G32" s="58"/>
      <x:c r="H32" s="60"/>
      <x:c r="I32" s="61"/>
      <x:c r="J32" s="61"/>
    </x:row>
    <x:row r="33" ht="57.75" hidden="0" customHeight="1">
      <x:c r="A33" s="58" t="n">
        <x:v>29</x:v>
      </x:c>
      <x:c r="B33" s="59" t="s">
        <x:v>78</x:v>
      </x:c>
      <x:c r="C33" s="58" t="s">
        <x:v>26</x:v>
      </x:c>
      <x:c r="D33" s="60" t="s">
        <x:v>85</x:v>
      </x:c>
      <x:c r="E33" s="60" t="s">
        <x:v>86</x:v>
      </x:c>
      <x:c r="F33" s="60" t="s">
        <x:v>87</x:v>
      </x:c>
      <x:c r="G33" s="58"/>
      <x:c r="H33" s="60"/>
      <x:c r="I33" s="61"/>
      <x:c r="J33" s="61"/>
    </x:row>
    <x:row r="34" ht="57.75" hidden="0" customHeight="1">
      <x:c r="A34" s="58" t="n">
        <x:v>30</x:v>
      </x:c>
      <x:c r="B34" s="59" t="s">
        <x:v>78</x:v>
      </x:c>
      <x:c r="C34" s="58" t="s">
        <x:v>1</x:v>
      </x:c>
      <x:c r="D34" s="60" t="s">
        <x:v>88</x:v>
      </x:c>
      <x:c r="E34" s="60" t="s">
        <x:v>80</x:v>
      </x:c>
      <x:c r="F34" s="60" t="s">
        <x:v>89</x:v>
      </x:c>
      <x:c r="G34" s="58"/>
      <x:c r="H34" s="60"/>
      <x:c r="I34" s="61"/>
      <x:c r="J34" s="61"/>
    </x:row>
    <x:row r="35" ht="57.75" hidden="0" customHeight="1">
      <x:c r="A35" s="58" t="n">
        <x:v>31</x:v>
      </x:c>
      <x:c r="B35" s="59" t="s">
        <x:v>90</x:v>
      </x:c>
      <x:c r="C35" s="58" t="s">
        <x:v>1</x:v>
      </x:c>
      <x:c r="D35" s="60" t="s">
        <x:v>91</x:v>
      </x:c>
      <x:c r="E35" s="60" t="s">
        <x:v>92</x:v>
      </x:c>
      <x:c r="F35" s="60" t="s">
        <x:v>93</x:v>
      </x:c>
      <x:c r="G35" s="58"/>
      <x:c r="H35" s="60"/>
      <x:c r="I35" s="61"/>
      <x:c r="J35" s="61"/>
    </x:row>
    <x:row r="36" ht="57.75" hidden="0" customHeight="1">
      <x:c r="A36" s="58" t="n">
        <x:v>32</x:v>
      </x:c>
      <x:c r="B36" s="59" t="s">
        <x:v>90</x:v>
      </x:c>
      <x:c r="C36" s="58" t="s">
        <x:v>94</x:v>
      </x:c>
      <x:c r="D36" s="60" t="s">
        <x:v>95</x:v>
      </x:c>
      <x:c r="E36" s="60" t="s">
        <x:v>92</x:v>
      </x:c>
      <x:c r="F36" s="60" t="s">
        <x:v>96</x:v>
      </x:c>
      <x:c r="G36" s="58"/>
      <x:c r="H36" s="60"/>
      <x:c r="I36" s="61"/>
      <x:c r="J36" s="61"/>
    </x:row>
    <x:row r="37" ht="57.75" hidden="0" customHeight="1">
      <x:c r="A37" s="58" t="n">
        <x:v>33</x:v>
      </x:c>
      <x:c r="B37" s="59" t="s">
        <x:v>90</x:v>
      </x:c>
      <x:c r="C37" s="58" t="s">
        <x:v>97</x:v>
      </x:c>
      <x:c r="D37" s="60" t="s">
        <x:v>98</x:v>
      </x:c>
      <x:c r="E37" s="60" t="s">
        <x:v>92</x:v>
      </x:c>
      <x:c r="F37" s="60" t="s">
        <x:v>99</x:v>
      </x:c>
      <x:c r="G37" s="58"/>
      <x:c r="H37" s="60"/>
      <x:c r="I37" s="61"/>
      <x:c r="J37" s="61"/>
    </x:row>
    <x:row r="38" ht="57.75" hidden="0" customHeight="1">
      <x:c r="A38" s="58" t="n">
        <x:v>34</x:v>
      </x:c>
      <x:c r="B38" s="59" t="s">
        <x:v>100</x:v>
      </x:c>
      <x:c r="C38" s="58" t="s">
        <x:v>1</x:v>
      </x:c>
      <x:c r="D38" s="60" t="s">
        <x:v>101</x:v>
      </x:c>
      <x:c r="E38" s="60" t="s">
        <x:v>102</x:v>
      </x:c>
      <x:c r="F38" s="60" t="s">
        <x:v>103</x:v>
      </x:c>
      <x:c r="G38" s="58"/>
      <x:c r="H38" s="60"/>
      <x:c r="I38" s="61"/>
      <x:c r="J38" s="61"/>
    </x:row>
    <x:row r="39" ht="57.75" hidden="0" customHeight="1">
      <x:c r="A39" s="58" t="n">
        <x:v>35</x:v>
      </x:c>
      <x:c r="B39" s="59" t="s">
        <x:v>100</x:v>
      </x:c>
      <x:c r="C39" s="58" t="s">
        <x:v>104</x:v>
      </x:c>
      <x:c r="D39" s="60" t="s">
        <x:v>105</x:v>
      </x:c>
      <x:c r="E39" s="60" t="s">
        <x:v>106</x:v>
      </x:c>
      <x:c r="F39" s="60" t="s">
        <x:v>107</x:v>
      </x:c>
      <x:c r="G39" s="58"/>
      <x:c r="H39" s="60"/>
      <x:c r="I39" s="61"/>
      <x:c r="J39" s="61"/>
    </x:row>
    <x:row r="40" ht="57.75" hidden="0" customHeight="1">
      <x:c r="A40" s="58" t="n">
        <x:v>36</x:v>
      </x:c>
      <x:c r="B40" s="59" t="s">
        <x:v>100</x:v>
      </x:c>
      <x:c r="C40" s="58" t="s">
        <x:v>108</x:v>
      </x:c>
      <x:c r="D40" s="60" t="s">
        <x:v>109</x:v>
      </x:c>
      <x:c r="E40" s="60" t="s">
        <x:v>110</x:v>
      </x:c>
      <x:c r="F40" s="60" t="s">
        <x:v>111</x:v>
      </x:c>
      <x:c r="G40" s="58"/>
      <x:c r="H40" s="60"/>
      <x:c r="I40" s="61"/>
      <x:c r="J40" s="61"/>
    </x:row>
    <x:row r="41" ht="57.75" hidden="0" customHeight="1">
      <x:c r="A41" s="58" t="n">
        <x:v>37</x:v>
      </x:c>
      <x:c r="B41" s="59" t="s">
        <x:v>112</x:v>
      </x:c>
      <x:c r="C41" s="58" t="s">
        <x:v>1</x:v>
      </x:c>
      <x:c r="D41" s="60" t="s">
        <x:v>113</x:v>
      </x:c>
      <x:c r="E41" s="60" t="s">
        <x:v>114</x:v>
      </x:c>
      <x:c r="F41" s="60" t="s">
        <x:v>115</x:v>
      </x:c>
      <x:c r="G41" s="58"/>
      <x:c r="H41" s="60"/>
      <x:c r="I41" s="61"/>
      <x:c r="J41" s="61"/>
    </x:row>
    <x:row r="42" ht="57.75" hidden="0" customHeight="1">
      <x:c r="A42" s="58" t="n">
        <x:v>38</x:v>
      </x:c>
      <x:c r="B42" s="59" t="s">
        <x:v>112</x:v>
      </x:c>
      <x:c r="C42" s="58" t="s">
        <x:v>116</x:v>
      </x:c>
      <x:c r="D42" s="60" t="s">
        <x:v>117</x:v>
      </x:c>
      <x:c r="E42" s="60" t="s">
        <x:v>118</x:v>
      </x:c>
      <x:c r="F42" s="60" t="s">
        <x:v>119</x:v>
      </x:c>
      <x:c r="G42" s="58"/>
      <x:c r="H42" s="60"/>
      <x:c r="I42" s="61"/>
      <x:c r="J42" s="61"/>
    </x:row>
  </x:sheetData>
  <x:mergeCells>
    <x:mergeCell ref="A1:J1"/>
    <x:mergeCell ref="A2:J2"/>
  </x:mergeCells>
  <x:conditionalFormatting sqref="G5:G42">
    <x:cfRule type="expression" dxfId="0" priority="1">
      <x:formula>G5="Pass"</x:formula>
    </x:cfRule>
    <x:cfRule type="expression" dxfId="1" priority="2">
      <x:formula>G5="Fail"</x:formula>
    </x:cfRule>
  </x:conditionalFormatting>
  <x:dataValidations count="2">
    <x:dataValidation type="list" errorStyle="stop" allowBlank="1" showDropDown="0" showInputMessage="0" showErrorMessage="0" sqref="G5:G42">
      <x:formula1>"Pass,Fail"</x:formula1>
    </x:dataValidation>
    <x:dataValidation type="list" sqref="H5:H42">
      <x:formula1>"retrieval,wrong_lecture,grounding,memory,scope,quiz,state_tracking,course_builder,source_timestamp,ui,other"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4" hidden="0" customWidth="1"/>
    <x:col min="2" max="3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hidden="0" customHeight="1">
      <x:c r="A1" s="77" t="str">
        <x:v>Evaluation Summary</x:v>
      </x:c>
      <x:c r="B1" s="77"/>
      <x:c r="C1" s="77"/>
      <x:c r="D1" s="78"/>
      <x:c r="E1" s="78"/>
      <x:c r="F1" s="78"/>
    </x:row>
    <x:row r="2" ht="15" hidden="0">
      <x:c r="A2" s="82" t="str">
        <x:v>Counts update automatically as Result is filled in the Eval Set tab. Pass rate uses completed tests only.</x:v>
      </x:c>
      <x:c r="B2" s="82"/>
      <x:c r="C2" s="82"/>
      <x:c r="D2" s="83"/>
      <x:c r="E2" s="83"/>
      <x:c r="F2" s="83"/>
    </x:row>
    <x:row r="4" ht="15" hidden="0">
      <x:c r="A4" s="22" t="str">
        <x:v>Category</x:v>
      </x:c>
      <x:c r="B4" s="22" t="str">
        <x:v># Tasks</x:v>
      </x:c>
      <x:c r="C4" s="22" t="str">
        <x:v># Completed</x:v>
      </x:c>
      <x:c r="D4" s="65" t="str">
        <x:v># Passed</x:v>
      </x:c>
      <x:c r="E4" s="65" t="str">
        <x:v># Failed</x:v>
      </x:c>
      <x:c r="F4" s="65" t="str">
        <x:v>Pass Rate</x:v>
      </x:c>
    </x:row>
    <x:row r="5" ht="15" hidden="0">
      <x:c r="A5" s="6" t="str">
        <x:v>Direct Concept</x:v>
      </x:c>
      <x:c r="B5" s="7" t="n">
        <x:f aca="0">COUNTIF('Eval Set'!$B$5:$B$42,A5)</x:f>
        <x:v>6</x:v>
      </x:c>
      <x:c r="C5" s="7" t="n">
        <x:f aca="0">COUNTIFS('Eval Set'!$B$5:$B$42,A5,'Eval Set'!$G$5:$G$42,"&lt;&gt;")</x:f>
        <x:v>0</x:v>
      </x:c>
      <x:c r="D5" t="n">
        <x:f>COUNTIFS('Eval Set'!$B$5:$B$42,A5,'Eval Set'!$G$5:$G$42,"Pass")</x:f>
        <x:v>0</x:v>
      </x:c>
      <x:c r="E5" t="n">
        <x:f>COUNTIFS('Eval Set'!$B$5:$B$42,A5,'Eval Set'!$G$5:$G$42,"Fail")</x:f>
        <x:v>0</x:v>
      </x:c>
      <x:c r="F5" s="63" t="n">
        <x:f>IFERROR(D5/C5,0)</x:f>
        <x:v>0</x:v>
      </x:c>
    </x:row>
    <x:row r="6" ht="15" hidden="0">
      <x:c r="A6" s="6" t="str">
        <x:v>Lecture-Specific</x:v>
      </x:c>
      <x:c r="B6" s="7" t="n">
        <x:f aca="0">COUNTIF('Eval Set'!$B$5:$B$42,A6)</x:f>
        <x:v>6</x:v>
      </x:c>
      <x:c r="C6" s="7" t="n">
        <x:f aca="0">COUNTIFS('Eval Set'!$B$5:$B$42,A6,'Eval Set'!$G$5:$G$42,"&lt;&gt;")</x:f>
        <x:v>0</x:v>
      </x:c>
      <x:c r="D6" t="n">
        <x:f>COUNTIFS('Eval Set'!$B$5:$B$42,A6,'Eval Set'!$G$5:$G$42,"Pass")</x:f>
        <x:v>0</x:v>
      </x:c>
      <x:c r="E6" t="n">
        <x:f>COUNTIFS('Eval Set'!$B$5:$B$42,A6,'Eval Set'!$G$5:$G$42,"Fail")</x:f>
        <x:v>0</x:v>
      </x:c>
      <x:c r="F6" s="63" t="n">
        <x:f>IFERROR(D6/C6,0)</x:f>
        <x:v>0</x:v>
      </x:c>
    </x:row>
    <x:row r="7" ht="15" hidden="0">
      <x:c r="A7" s="6" t="str">
        <x:v>Comparison</x:v>
      </x:c>
      <x:c r="B7" s="7" t="n">
        <x:f aca="0">COUNTIF('Eval Set'!$B$5:$B$42,A7)</x:f>
        <x:v>5</x:v>
      </x:c>
      <x:c r="C7" s="7" t="n">
        <x:f aca="0">COUNTIFS('Eval Set'!$B$5:$B$42,A7,'Eval Set'!$G$5:$G$42,"&lt;&gt;")</x:f>
        <x:v>0</x:v>
      </x:c>
      <x:c r="D7" t="n">
        <x:f>COUNTIFS('Eval Set'!$B$5:$B$42,A7,'Eval Set'!$G$5:$G$42,"Pass")</x:f>
        <x:v>0</x:v>
      </x:c>
      <x:c r="E7" t="n">
        <x:f>COUNTIFS('Eval Set'!$B$5:$B$42,A7,'Eval Set'!$G$5:$G$42,"Fail")</x:f>
        <x:v>0</x:v>
      </x:c>
      <x:c r="F7" s="63" t="n">
        <x:f>IFERROR(D7/C7,0)</x:f>
        <x:v>0</x:v>
      </x:c>
    </x:row>
    <x:row r="8" ht="15" hidden="0">
      <x:c r="A8" s="6" t="str">
        <x:v>Memory / Follow-up</x:v>
      </x:c>
      <x:c r="B8" s="7" t="n">
        <x:f aca="0">COUNTIF('Eval Set'!$B$5:$B$42,A8)</x:f>
        <x:v>5</x:v>
      </x:c>
      <x:c r="C8" s="7" t="n">
        <x:f aca="0">COUNTIFS('Eval Set'!$B$5:$B$42,A8,'Eval Set'!$G$5:$G$42,"&lt;&gt;")</x:f>
        <x:v>0</x:v>
      </x:c>
      <x:c r="D8" t="n">
        <x:f>COUNTIFS('Eval Set'!$B$5:$B$42,A8,'Eval Set'!$G$5:$G$42,"Pass")</x:f>
        <x:v>0</x:v>
      </x:c>
      <x:c r="E8" t="n">
        <x:f>COUNTIFS('Eval Set'!$B$5:$B$42,A8,'Eval Set'!$G$5:$G$42,"Fail")</x:f>
        <x:v>0</x:v>
      </x:c>
      <x:c r="F8" s="63" t="n">
        <x:f>IFERROR(D8/C8,0)</x:f>
        <x:v>0</x:v>
      </x:c>
    </x:row>
    <x:row r="9" ht="15" hidden="0">
      <x:c r="A9" s="6" t="str">
        <x:v>Out-of-Scope</x:v>
      </x:c>
      <x:c r="B9" s="7" t="n">
        <x:f aca="0">COUNTIF('Eval Set'!$B$5:$B$42,A9)</x:f>
        <x:v>4</x:v>
      </x:c>
      <x:c r="C9" s="7" t="n">
        <x:f aca="0">COUNTIFS('Eval Set'!$B$5:$B$42,A9,'Eval Set'!$G$5:$G$42,"&lt;&gt;")</x:f>
        <x:v>0</x:v>
      </x:c>
      <x:c r="D9" t="n">
        <x:f>COUNTIFS('Eval Set'!$B$5:$B$42,A9,'Eval Set'!$G$5:$G$42,"Pass")</x:f>
        <x:v>0</x:v>
      </x:c>
      <x:c r="E9" t="n">
        <x:f>COUNTIFS('Eval Set'!$B$5:$B$42,A9,'Eval Set'!$G$5:$G$42,"Fail")</x:f>
        <x:v>0</x:v>
      </x:c>
      <x:c r="F9" s="63" t="n">
        <x:f>IFERROR(D9/C9,0)</x:f>
        <x:v>0</x:v>
      </x:c>
    </x:row>
    <x:row r="10" ht="15" hidden="0">
      <x:c r="A10" s="6" t="str">
        <x:v>Quiz Gen/Grading</x:v>
      </x:c>
      <x:c r="B10" s="7" t="n">
        <x:f aca="0">COUNTIF('Eval Set'!$B$5:$B$42,A10)</x:f>
        <x:v>4</x:v>
      </x:c>
      <x:c r="C10" s="7" t="n">
        <x:f aca="0">COUNTIFS('Eval Set'!$B$5:$B$42,A10,'Eval Set'!$G$5:$G$42,"&lt;&gt;")</x:f>
        <x:v>0</x:v>
      </x:c>
      <x:c r="D10" t="n">
        <x:f>COUNTIFS('Eval Set'!$B$5:$B$42,A10,'Eval Set'!$G$5:$G$42,"Pass")</x:f>
        <x:v>0</x:v>
      </x:c>
      <x:c r="E10" t="n">
        <x:f>COUNTIFS('Eval Set'!$B$5:$B$42,A10,'Eval Set'!$G$5:$G$42,"Fail")</x:f>
        <x:v>0</x:v>
      </x:c>
      <x:c r="F10" s="63" t="n">
        <x:f>IFERROR(D10/C10,0)</x:f>
        <x:v>0</x:v>
      </x:c>
    </x:row>
    <x:row r="11" ht="15" hidden="0">
      <x:c r="A11" s="6" t="str">
        <x:v>Weak-Topic Tracking</x:v>
      </x:c>
      <x:c r="B11" s="7" t="n">
        <x:f aca="0">COUNTIF('Eval Set'!$B$5:$B$42,A11)</x:f>
        <x:v>3</x:v>
      </x:c>
      <x:c r="C11" s="7" t="n">
        <x:f aca="0">COUNTIFS('Eval Set'!$B$5:$B$42,A11,'Eval Set'!$G$5:$G$42,"&lt;&gt;")</x:f>
        <x:v>0</x:v>
      </x:c>
      <x:c r="D11" t="n">
        <x:f>COUNTIFS('Eval Set'!$B$5:$B$42,A11,'Eval Set'!$G$5:$G$42,"Pass")</x:f>
        <x:v>0</x:v>
      </x:c>
      <x:c r="E11" t="n">
        <x:f>COUNTIFS('Eval Set'!$B$5:$B$42,A11,'Eval Set'!$G$5:$G$42,"Fail")</x:f>
        <x:v>0</x:v>
      </x:c>
      <x:c r="F11" s="63" t="n">
        <x:f>IFERROR(D11/C11,0)</x:f>
        <x:v>0</x:v>
      </x:c>
    </x:row>
    <x:row r="12" ht="15" hidden="0">
      <x:c r="A12" s="6" t="str">
        <x:v>Course Builder</x:v>
      </x:c>
      <x:c r="B12" s="7" t="n">
        <x:f aca="0">COUNTIF('Eval Set'!$B$5:$B$42,A12)</x:f>
        <x:v>3</x:v>
      </x:c>
      <x:c r="C12" s="7" t="n">
        <x:f aca="0">COUNTIFS('Eval Set'!$B$5:$B$42,A12,'Eval Set'!$G$5:$G$42,"&lt;&gt;")</x:f>
        <x:v>0</x:v>
      </x:c>
      <x:c r="D12" t="n">
        <x:f>COUNTIFS('Eval Set'!$B$5:$B$42,A12,'Eval Set'!$G$5:$G$42,"Pass")</x:f>
        <x:v>0</x:v>
      </x:c>
      <x:c r="E12" t="n">
        <x:f>COUNTIFS('Eval Set'!$B$5:$B$42,A12,'Eval Set'!$G$5:$G$42,"Fail")</x:f>
        <x:v>0</x:v>
      </x:c>
      <x:c r="F12" s="63" t="n">
        <x:f>IFERROR(D12/C12,0)</x:f>
        <x:v>0</x:v>
      </x:c>
    </x:row>
    <x:row r="13" ht="15" hidden="0">
      <x:c r="A13" s="6" t="str">
        <x:v>Source/Timestamp Check</x:v>
      </x:c>
      <x:c r="B13" s="7" t="n">
        <x:f aca="0">COUNTIF('Eval Set'!$B$5:$B$42,A13)</x:f>
        <x:v>2</x:v>
      </x:c>
      <x:c r="C13" s="7" t="n">
        <x:f aca="0">COUNTIFS('Eval Set'!$B$5:$B$42,A13,'Eval Set'!$G$5:$G$42,"&lt;&gt;")</x:f>
        <x:v>0</x:v>
      </x:c>
      <x:c r="D13" t="n">
        <x:f>COUNTIFS('Eval Set'!$B$5:$B$42,A13,'Eval Set'!$G$5:$G$42,"Pass")</x:f>
        <x:v>0</x:v>
      </x:c>
      <x:c r="E13" t="n">
        <x:f>COUNTIFS('Eval Set'!$B$5:$B$42,A13,'Eval Set'!$G$5:$G$42,"Fail")</x:f>
        <x:v>0</x:v>
      </x:c>
      <x:c r="F13" s="63" t="n">
        <x:f>IFERROR(D13/C13,0)</x:f>
        <x:v>0</x:v>
      </x:c>
    </x:row>
    <x:row r="14" ht="15" hidden="0">
      <x:c r="A14" s="67" t="str">
        <x:v>TOTAL</x:v>
      </x:c>
      <x:c r="B14" s="68" t="n">
        <x:f aca="0">SUM(B5:B13)</x:f>
        <x:v>38</x:v>
      </x:c>
      <x:c r="C14" s="68" t="n">
        <x:f aca="0">SUM(C5:C13)</x:f>
        <x:v>0</x:v>
      </x:c>
      <x:c r="D14" s="70" t="n">
        <x:f>SUM(D5:D13)</x:f>
        <x:v>0</x:v>
      </x:c>
      <x:c r="E14" s="70" t="n">
        <x:f>SUM(E5:E13)</x:f>
        <x:v>0</x:v>
      </x:c>
      <x:c r="F14" s="71" t="n">
        <x:f>IFERROR(D14/C14,0)</x:f>
        <x:v>0</x:v>
      </x:c>
    </x:row>
    <x:row r="16" ht="15" hidden="0">
      <x:c r="A16" s="9" t="s">
        <x:v>120</x:v>
      </x:c>
      <x:c r="B16" s="10" t="n">
        <x:f aca="0">IFERROR(C14/B14,0)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